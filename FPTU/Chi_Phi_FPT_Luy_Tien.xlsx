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 Chi Phí" sheetId="1" state="visible" r:id="rId1"/>
    <sheet xmlns:r="http://schemas.openxmlformats.org/officeDocument/2006/relationships" name="Học Phí Lũy Tiến" sheetId="2" state="visible" r:id="rId2"/>
    <sheet xmlns:r="http://schemas.openxmlformats.org/officeDocument/2006/relationships" name="Sinh Hoạt Ph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color rgb="00595959"/>
      <sz val="11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4F7"/>
        <bgColor rgb="00F2F4F7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5" fillId="4" borderId="2" pivotButton="0" quotePrefix="0" xfId="0"/>
    <xf numFmtId="3" fontId="5" fillId="4" borderId="2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3" fontId="4" fillId="0" borderId="1" pivotButton="0" quotePrefix="0" xfId="0"/>
    <xf numFmtId="9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3" borderId="1" pivotButton="0" quotePrefix="0" xfId="0"/>
    <xf numFmtId="9" fontId="4" fillId="3" borderId="1" applyAlignment="1" pivotButton="0" quotePrefix="0" xfId="0">
      <alignment horizontal="center" vertical="center" wrapText="1"/>
    </xf>
    <xf numFmtId="0" fontId="0" fillId="4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5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6" customWidth="1" min="3" max="3"/>
    <col width="36" customWidth="1" min="4" max="4"/>
  </cols>
  <sheetData>
    <row r="1"/>
    <row r="2">
      <c r="B2" s="1" t="inlineStr">
        <is>
          <t>BÁO CÁO TÀI CHÍNH CHUẨN XÁC</t>
        </is>
      </c>
    </row>
    <row r="3">
      <c r="B3" s="2" t="inlineStr">
        <is>
          <t>Cập nhật cấu trúc học phí lũy tiến</t>
        </is>
      </c>
    </row>
    <row r="4"/>
    <row r="5">
      <c r="B5" s="3" t="inlineStr">
        <is>
          <t>Hạng Mục</t>
        </is>
      </c>
      <c r="C5" s="3" t="inlineStr">
        <is>
          <t>Tổng Gốc (VNĐ)</t>
        </is>
      </c>
      <c r="D5" s="3" t="inlineStr">
        <is>
          <t>Thực Phải Nộp (VNĐ)</t>
        </is>
      </c>
    </row>
    <row r="6">
      <c r="B6" s="4" t="inlineStr">
        <is>
          <t>1. Định hướng &amp; Tiếng Anh</t>
        </is>
      </c>
      <c r="C6" s="5">
        <f>SUM('Học Phí Lũy Tiến'!F6:F12)</f>
        <v/>
      </c>
      <c r="D6" s="5">
        <f>SUM('Học Phí Lũy Tiến'!H6:H12)</f>
        <v/>
      </c>
    </row>
    <row r="7">
      <c r="B7" s="4" t="inlineStr">
        <is>
          <t>2. Chuyên ngành (9 kỳ lùi)</t>
        </is>
      </c>
      <c r="C7" s="5">
        <f>SUM('Học Phí Lũy Tiến'!F13:F21)</f>
        <v/>
      </c>
      <c r="D7" s="5">
        <f>SUM('Học Phí Lũy Tiến'!H13:H21)</f>
        <v/>
      </c>
    </row>
    <row r="8">
      <c r="B8" s="4" t="inlineStr">
        <is>
          <t>3. Sinh hoạt phí (48 tháng)</t>
        </is>
      </c>
      <c r="C8" s="5">
        <f>'Sinh Hoạt Phí'!F10</f>
        <v/>
      </c>
      <c r="D8" s="5">
        <f>'Sinh Hoạt Phí'!F10</f>
        <v/>
      </c>
    </row>
    <row r="9">
      <c r="B9" s="6" t="inlineStr">
        <is>
          <t>TỔNG CHI PHÍ TOÀN KHÓA</t>
        </is>
      </c>
      <c r="C9" s="7">
        <f>SUM(C6:C8)</f>
        <v/>
      </c>
      <c r="D9" s="7">
        <f>SUM(D6:D8)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73" customWidth="1" min="2" max="2"/>
    <col width="30" customWidth="1" min="3" max="3"/>
    <col width="12" customWidth="1" min="4" max="4"/>
    <col width="21" customWidth="1" min="5" max="5"/>
    <col width="18" customWidth="1" min="6" max="6"/>
    <col width="14" customWidth="1" min="7" max="7"/>
    <col width="23" customWidth="1" min="8" max="8"/>
    <col width="34" customWidth="1" min="9" max="9"/>
  </cols>
  <sheetData>
    <row r="1"/>
    <row r="2">
      <c r="B2" s="1" t="inlineStr">
        <is>
          <t>BẢNG TÍNH HỌC PHÍ LŨY TIẾN ĐẠI HỌC FPT - CAMPUS HÀ NỘI</t>
        </is>
      </c>
    </row>
    <row r="3">
      <c r="B3" s="2" t="inlineStr">
        <is>
          <t>Ngành: Trí tuệ Nhân tạo | Học bổng: 50% | Nguồn: Bảng giá gốc khóa 21</t>
        </is>
      </c>
    </row>
    <row r="4"/>
    <row r="5">
      <c r="B5" s="8" t="inlineStr">
        <is>
          <t>STT</t>
        </is>
      </c>
      <c r="C5" s="8" t="inlineStr">
        <is>
          <t>Giai Đoạn Học</t>
        </is>
      </c>
      <c r="D5" s="8" t="inlineStr">
        <is>
          <t>Số Lượng</t>
        </is>
      </c>
      <c r="E5" s="8" t="inlineStr">
        <is>
          <t>Đơn Giá Gốc (VNĐ)</t>
        </is>
      </c>
      <c r="F5" s="8" t="inlineStr">
        <is>
          <t>Tổng Gốc (VNĐ)</t>
        </is>
      </c>
      <c r="G5" s="8" t="inlineStr">
        <is>
          <t>Áp Dụng HB</t>
        </is>
      </c>
      <c r="H5" s="8" t="inlineStr">
        <is>
          <t>Thực Phải Nộp (VNĐ)</t>
        </is>
      </c>
      <c r="I5" s="8" t="inlineStr">
        <is>
          <t>Ghi chú theo hình ảnh</t>
        </is>
      </c>
    </row>
    <row r="6">
      <c r="B6" s="9" t="n">
        <v>1</v>
      </c>
      <c r="C6" s="10" t="inlineStr">
        <is>
          <t>Học phí kỳ định hướng</t>
        </is>
      </c>
      <c r="D6" s="9" t="n">
        <v>1</v>
      </c>
      <c r="E6" s="11" t="n">
        <v>13100000</v>
      </c>
      <c r="F6" s="11">
        <f>D6*E6</f>
        <v/>
      </c>
      <c r="G6" s="12" t="n">
        <v>0.5</v>
      </c>
      <c r="H6" s="11">
        <f>F6*(1-G6)</f>
        <v/>
      </c>
      <c r="I6" s="10" t="inlineStr">
        <is>
          <t>Mục (*) Sinh viên mới nhập học</t>
        </is>
      </c>
    </row>
    <row r="7">
      <c r="B7" s="13" t="n">
        <v>2</v>
      </c>
      <c r="C7" s="14" t="inlineStr">
        <is>
          <t>Tiếng Anh - Mức 1</t>
        </is>
      </c>
      <c r="D7" s="13" t="n">
        <v>1</v>
      </c>
      <c r="E7" s="15" t="n">
        <v>13100000</v>
      </c>
      <c r="F7" s="15">
        <f>D7*E7</f>
        <v/>
      </c>
      <c r="G7" s="16" t="n">
        <v>0.5</v>
      </c>
      <c r="H7" s="15">
        <f>F7*(1-G7)</f>
        <v/>
      </c>
      <c r="I7" s="14" t="inlineStr">
        <is>
          <t>Mục (**) Tối đa 6 mức</t>
        </is>
      </c>
    </row>
    <row r="8">
      <c r="B8" s="9" t="n">
        <v>3</v>
      </c>
      <c r="C8" s="10" t="inlineStr">
        <is>
          <t>Tiếng Anh - Mức 2</t>
        </is>
      </c>
      <c r="D8" s="9" t="n">
        <v>1</v>
      </c>
      <c r="E8" s="11" t="n">
        <v>13100000</v>
      </c>
      <c r="F8" s="11">
        <f>D8*E8</f>
        <v/>
      </c>
      <c r="G8" s="12" t="n">
        <v>0.5</v>
      </c>
      <c r="H8" s="11">
        <f>F8*(1-G8)</f>
        <v/>
      </c>
      <c r="I8" s="10" t="inlineStr"/>
    </row>
    <row r="9">
      <c r="B9" s="13" t="n">
        <v>4</v>
      </c>
      <c r="C9" s="14" t="inlineStr">
        <is>
          <t>Tiếng Anh - Mức 3</t>
        </is>
      </c>
      <c r="D9" s="13" t="n">
        <v>1</v>
      </c>
      <c r="E9" s="15" t="n">
        <v>13100000</v>
      </c>
      <c r="F9" s="15">
        <f>D9*E9</f>
        <v/>
      </c>
      <c r="G9" s="16" t="n">
        <v>0.5</v>
      </c>
      <c r="H9" s="15">
        <f>F9*(1-G9)</f>
        <v/>
      </c>
      <c r="I9" s="14" t="inlineStr"/>
    </row>
    <row r="10">
      <c r="B10" s="9" t="n">
        <v>5</v>
      </c>
      <c r="C10" s="10" t="inlineStr">
        <is>
          <t>Tiếng Anh - Mức 4</t>
        </is>
      </c>
      <c r="D10" s="9" t="n">
        <v>1</v>
      </c>
      <c r="E10" s="11" t="n">
        <v>13100000</v>
      </c>
      <c r="F10" s="11">
        <f>D10*E10</f>
        <v/>
      </c>
      <c r="G10" s="12" t="n">
        <v>0.5</v>
      </c>
      <c r="H10" s="11">
        <f>F10*(1-G10)</f>
        <v/>
      </c>
      <c r="I10" s="10" t="inlineStr"/>
    </row>
    <row r="11">
      <c r="B11" s="13" t="n">
        <v>6</v>
      </c>
      <c r="C11" s="14" t="inlineStr">
        <is>
          <t>Tiếng Anh - Mức 5</t>
        </is>
      </c>
      <c r="D11" s="13" t="n">
        <v>1</v>
      </c>
      <c r="E11" s="15" t="n">
        <v>13100000</v>
      </c>
      <c r="F11" s="15">
        <f>D11*E11</f>
        <v/>
      </c>
      <c r="G11" s="16" t="n">
        <v>0.5</v>
      </c>
      <c r="H11" s="15">
        <f>F11*(1-G11)</f>
        <v/>
      </c>
      <c r="I11" s="14" t="inlineStr"/>
    </row>
    <row r="12">
      <c r="B12" s="9" t="n">
        <v>7</v>
      </c>
      <c r="C12" s="10" t="inlineStr">
        <is>
          <t>Tiếng Anh - Mức 6</t>
        </is>
      </c>
      <c r="D12" s="9" t="n">
        <v>1</v>
      </c>
      <c r="E12" s="11" t="n">
        <v>13100000</v>
      </c>
      <c r="F12" s="11">
        <f>D12*E12</f>
        <v/>
      </c>
      <c r="G12" s="12" t="n">
        <v>0.5</v>
      </c>
      <c r="H12" s="11">
        <f>F12*(1-G12)</f>
        <v/>
      </c>
      <c r="I12" s="10" t="inlineStr"/>
    </row>
    <row r="13">
      <c r="B13" s="13" t="n">
        <v>8</v>
      </c>
      <c r="C13" s="14" t="inlineStr">
        <is>
          <t>Chuyên ngành - Học kỳ 1</t>
        </is>
      </c>
      <c r="D13" s="13" t="n">
        <v>1</v>
      </c>
      <c r="E13" s="15" t="n">
        <v>31600000</v>
      </c>
      <c r="F13" s="15">
        <f>D13*E13</f>
        <v/>
      </c>
      <c r="G13" s="16" t="n">
        <v>0.5</v>
      </c>
      <c r="H13" s="15">
        <f>F13*(1-G13)</f>
        <v/>
      </c>
      <c r="I13" s="14" t="inlineStr">
        <is>
          <t>Thuộc 3 học kỳ đầu</t>
        </is>
      </c>
    </row>
    <row r="14">
      <c r="B14" s="9" t="n">
        <v>9</v>
      </c>
      <c r="C14" s="10" t="inlineStr">
        <is>
          <t>Chuyên ngành - Học kỳ 2</t>
        </is>
      </c>
      <c r="D14" s="9" t="n">
        <v>1</v>
      </c>
      <c r="E14" s="11" t="n">
        <v>31600000</v>
      </c>
      <c r="F14" s="11">
        <f>D14*E14</f>
        <v/>
      </c>
      <c r="G14" s="12" t="n">
        <v>0.5</v>
      </c>
      <c r="H14" s="11">
        <f>F14*(1-G14)</f>
        <v/>
      </c>
      <c r="I14" s="10" t="inlineStr">
        <is>
          <t>Thuộc 3 học kỳ đầu</t>
        </is>
      </c>
    </row>
    <row r="15">
      <c r="B15" s="13" t="n">
        <v>10</v>
      </c>
      <c r="C15" s="14" t="inlineStr">
        <is>
          <t>Chuyên ngành - Học kỳ 3</t>
        </is>
      </c>
      <c r="D15" s="13" t="n">
        <v>1</v>
      </c>
      <c r="E15" s="15" t="n">
        <v>31600000</v>
      </c>
      <c r="F15" s="15">
        <f>D15*E15</f>
        <v/>
      </c>
      <c r="G15" s="16" t="n">
        <v>0.5</v>
      </c>
      <c r="H15" s="15">
        <f>F15*(1-G15)</f>
        <v/>
      </c>
      <c r="I15" s="14" t="inlineStr">
        <is>
          <t>Thuộc 3 học kỳ đầu</t>
        </is>
      </c>
    </row>
    <row r="16">
      <c r="B16" s="9" t="n">
        <v>11</v>
      </c>
      <c r="C16" s="10" t="inlineStr">
        <is>
          <t>Chuyên ngành - Học kỳ 4</t>
        </is>
      </c>
      <c r="D16" s="9" t="n">
        <v>1</v>
      </c>
      <c r="E16" s="11" t="n">
        <v>33600000</v>
      </c>
      <c r="F16" s="11">
        <f>D16*E16</f>
        <v/>
      </c>
      <c r="G16" s="12" t="n">
        <v>0.5</v>
      </c>
      <c r="H16" s="11">
        <f>F16*(1-G16)</f>
        <v/>
      </c>
      <c r="I16" s="10" t="inlineStr">
        <is>
          <t>Thuộc 3 học kỳ tiếp theo</t>
        </is>
      </c>
    </row>
    <row r="17">
      <c r="B17" s="13" t="n">
        <v>12</v>
      </c>
      <c r="C17" s="14" t="inlineStr">
        <is>
          <t>Chuyên ngành - Học kỳ 5</t>
        </is>
      </c>
      <c r="D17" s="13" t="n">
        <v>1</v>
      </c>
      <c r="E17" s="15" t="n">
        <v>33600000</v>
      </c>
      <c r="F17" s="15">
        <f>D17*E17</f>
        <v/>
      </c>
      <c r="G17" s="16" t="n">
        <v>0.5</v>
      </c>
      <c r="H17" s="15">
        <f>F17*(1-G17)</f>
        <v/>
      </c>
      <c r="I17" s="14" t="inlineStr">
        <is>
          <t>Thuộc 3 học kỳ tiếp theo</t>
        </is>
      </c>
    </row>
    <row r="18">
      <c r="B18" s="9" t="n">
        <v>13</v>
      </c>
      <c r="C18" s="10" t="inlineStr">
        <is>
          <t>Chuyên ngành - Học kỳ 6</t>
        </is>
      </c>
      <c r="D18" s="9" t="n">
        <v>1</v>
      </c>
      <c r="E18" s="11" t="n">
        <v>33600000</v>
      </c>
      <c r="F18" s="11">
        <f>D18*E18</f>
        <v/>
      </c>
      <c r="G18" s="12" t="n">
        <v>0.5</v>
      </c>
      <c r="H18" s="11">
        <f>F18*(1-G18)</f>
        <v/>
      </c>
      <c r="I18" s="10" t="inlineStr">
        <is>
          <t>Thuộc 3 học kỳ tiếp theo</t>
        </is>
      </c>
    </row>
    <row r="19">
      <c r="B19" s="13" t="n">
        <v>14</v>
      </c>
      <c r="C19" s="14" t="inlineStr">
        <is>
          <t>Chuyên ngành - Học kỳ 7</t>
        </is>
      </c>
      <c r="D19" s="13" t="n">
        <v>1</v>
      </c>
      <c r="E19" s="15" t="n">
        <v>35800000</v>
      </c>
      <c r="F19" s="15">
        <f>D19*E19</f>
        <v/>
      </c>
      <c r="G19" s="16" t="n">
        <v>0.5</v>
      </c>
      <c r="H19" s="15">
        <f>F19*(1-G19)</f>
        <v/>
      </c>
      <c r="I19" s="14" t="inlineStr">
        <is>
          <t>Thuộc 3 học kỳ cuối</t>
        </is>
      </c>
    </row>
    <row r="20">
      <c r="B20" s="9" t="n">
        <v>15</v>
      </c>
      <c r="C20" s="10" t="inlineStr">
        <is>
          <t>Chuyên ngành - Học kỳ 8</t>
        </is>
      </c>
      <c r="D20" s="9" t="n">
        <v>1</v>
      </c>
      <c r="E20" s="11" t="n">
        <v>35800000</v>
      </c>
      <c r="F20" s="11">
        <f>D20*E20</f>
        <v/>
      </c>
      <c r="G20" s="12" t="n">
        <v>0.5</v>
      </c>
      <c r="H20" s="11">
        <f>F20*(1-G20)</f>
        <v/>
      </c>
      <c r="I20" s="10" t="inlineStr">
        <is>
          <t>Thuộc 3 học kỳ cuối</t>
        </is>
      </c>
    </row>
    <row r="21">
      <c r="B21" s="13" t="n">
        <v>16</v>
      </c>
      <c r="C21" s="14" t="inlineStr">
        <is>
          <t>Chuyên ngành - Học kỳ 9</t>
        </is>
      </c>
      <c r="D21" s="13" t="n">
        <v>1</v>
      </c>
      <c r="E21" s="15" t="n">
        <v>35800000</v>
      </c>
      <c r="F21" s="15">
        <f>D21*E21</f>
        <v/>
      </c>
      <c r="G21" s="16" t="n">
        <v>0.5</v>
      </c>
      <c r="H21" s="15">
        <f>F21*(1-G21)</f>
        <v/>
      </c>
      <c r="I21" s="14" t="inlineStr">
        <is>
          <t>Thuộc 3 học kỳ cuối</t>
        </is>
      </c>
    </row>
    <row r="22">
      <c r="C22" s="6" t="inlineStr">
        <is>
          <t>TỔNG HỌC PHÍ ĐÀO TẠO (VNĐ)</t>
        </is>
      </c>
      <c r="D22" s="17" t="n"/>
      <c r="E22" s="17" t="n"/>
      <c r="F22" s="7">
        <f>SUM(F6:F21)</f>
        <v/>
      </c>
      <c r="G22" s="17" t="n"/>
      <c r="H22" s="7">
        <f>SUM(H6:H21)</f>
        <v/>
      </c>
      <c r="I22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2" customWidth="1" min="3" max="3"/>
    <col width="13" customWidth="1" min="4" max="4"/>
    <col width="12" customWidth="1" min="5" max="5"/>
    <col width="15" customWidth="1" min="6" max="6"/>
  </cols>
  <sheetData>
    <row r="1"/>
    <row r="2">
      <c r="B2" s="1" t="inlineStr">
        <is>
          <t>CHI PHÍ SINH HOẠT DỰ KIẾN (48 THÁNG)</t>
        </is>
      </c>
    </row>
    <row r="3"/>
    <row r="4">
      <c r="B4" s="3" t="inlineStr">
        <is>
          <t>STT</t>
        </is>
      </c>
      <c r="C4" s="3" t="inlineStr">
        <is>
          <t>Hạng Mục</t>
        </is>
      </c>
      <c r="D4" s="3" t="inlineStr">
        <is>
          <t>Phí/Tháng</t>
        </is>
      </c>
      <c r="E4" s="3" t="inlineStr">
        <is>
          <t>Tháng</t>
        </is>
      </c>
      <c r="F4" s="3" t="inlineStr">
        <is>
          <t>Tổng (VNĐ)</t>
        </is>
      </c>
    </row>
    <row r="5">
      <c r="B5" s="18" t="n">
        <v>1</v>
      </c>
      <c r="C5" s="19" t="inlineStr">
        <is>
          <t>Phòng trọ/KTX</t>
        </is>
      </c>
      <c r="D5" s="5" t="n">
        <v>1800000</v>
      </c>
      <c r="E5" s="18" t="n">
        <v>48</v>
      </c>
      <c r="F5" s="5">
        <f>D5*E5</f>
        <v/>
      </c>
    </row>
    <row r="6">
      <c r="B6" s="18" t="n">
        <v>2</v>
      </c>
      <c r="C6" s="19" t="inlineStr">
        <is>
          <t>Ăn uống</t>
        </is>
      </c>
      <c r="D6" s="5" t="n">
        <v>3000000</v>
      </c>
      <c r="E6" s="18" t="n">
        <v>48</v>
      </c>
      <c r="F6" s="5">
        <f>D6*E6</f>
        <v/>
      </c>
    </row>
    <row r="7">
      <c r="B7" s="18" t="n">
        <v>3</v>
      </c>
      <c r="C7" s="19" t="inlineStr">
        <is>
          <t>Đi lại, Xăng xe</t>
        </is>
      </c>
      <c r="D7" s="5" t="n">
        <v>400000</v>
      </c>
      <c r="E7" s="18" t="n">
        <v>48</v>
      </c>
      <c r="F7" s="5">
        <f>D7*E7</f>
        <v/>
      </c>
    </row>
    <row r="8">
      <c r="B8" s="18" t="n">
        <v>4</v>
      </c>
      <c r="C8" s="19" t="inlineStr">
        <is>
          <t>Điện, nước, net</t>
        </is>
      </c>
      <c r="D8" s="5" t="n">
        <v>500000</v>
      </c>
      <c r="E8" s="18" t="n">
        <v>48</v>
      </c>
      <c r="F8" s="5">
        <f>D8*E8</f>
        <v/>
      </c>
    </row>
    <row r="9">
      <c r="B9" s="18" t="n">
        <v>5</v>
      </c>
      <c r="C9" s="19" t="inlineStr">
        <is>
          <t>Y tế, dự phòng</t>
        </is>
      </c>
      <c r="D9" s="5" t="n">
        <v>300000</v>
      </c>
      <c r="E9" s="18" t="n">
        <v>48</v>
      </c>
      <c r="F9" s="5">
        <f>D9*E9</f>
        <v/>
      </c>
    </row>
    <row r="10">
      <c r="C10" s="20" t="inlineStr">
        <is>
          <t>TỔNG SINH HOẠT PHÍ</t>
        </is>
      </c>
      <c r="F10" s="21">
        <f>SUM(F5:F9)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2026-07-02T17:50:33Z</dcterms:created>
  <dcterms:modified xmlns:dcterms="http://purl.org/dc/terms/" xmlns:xsi="http://www.w3.org/2001/XMLSchema-instance" xsi:type="dcterms:W3CDTF">2026-07-02T17:50:33Z</dcterms:modified>
</cp:coreProperties>
</file>