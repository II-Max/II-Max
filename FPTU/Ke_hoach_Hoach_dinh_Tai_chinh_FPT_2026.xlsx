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hamv\OneDrive\Desktop\II-Max\FPTU\"/>
    </mc:Choice>
  </mc:AlternateContent>
  <xr:revisionPtr revIDLastSave="0" documentId="13_ncr:1_{D117CEFD-8DDD-4138-B539-71DB3F98E2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ổng Quan Chi Phí" sheetId="1" r:id="rId1"/>
    <sheet name="Học Phí Chi Tiết" sheetId="2" r:id="rId2"/>
    <sheet name="Sinh Hoạt Phí Dự Kiến" sheetId="3" r:id="rId3"/>
    <sheet name="3. So Sánh Hai Lộ Trình" sheetId="8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8" l="1"/>
  <c r="D9" i="8" s="1"/>
  <c r="B9" i="8"/>
  <c r="C8" i="8"/>
  <c r="B8" i="8"/>
  <c r="C7" i="8"/>
  <c r="B7" i="8"/>
  <c r="C6" i="8"/>
  <c r="B6" i="8"/>
  <c r="B10" i="8" s="1"/>
  <c r="E13" i="2"/>
  <c r="G13" i="2" s="1"/>
  <c r="B8" i="1" s="1"/>
  <c r="E10" i="3"/>
  <c r="E9" i="3"/>
  <c r="E8" i="3"/>
  <c r="E7" i="3"/>
  <c r="E6" i="3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E6" i="2"/>
  <c r="D7" i="8" l="1"/>
  <c r="D8" i="8"/>
  <c r="C10" i="8"/>
  <c r="D10" i="8" s="1"/>
  <c r="D6" i="8"/>
  <c r="B7" i="1"/>
  <c r="E11" i="3"/>
  <c r="B9" i="1" s="1"/>
  <c r="E14" i="2"/>
  <c r="G6" i="2"/>
  <c r="G14" i="2" s="1"/>
  <c r="B6" i="1" l="1"/>
  <c r="B10" i="1" s="1"/>
  <c r="D7" i="1" l="1"/>
  <c r="C15" i="2"/>
</calcChain>
</file>

<file path=xl/sharedStrings.xml><?xml version="1.0" encoding="utf-8"?>
<sst xmlns="http://schemas.openxmlformats.org/spreadsheetml/2006/main" count="77" uniqueCount="71">
  <si>
    <t>BÁO CÁO HOẠCH ĐỊNH TÀI CHÍNH TOÀN KHÓA ĐẠI HỌC FPT 2026</t>
  </si>
  <si>
    <t>Hệ thống tự động đồng bộ và tối ưu hóa chi phí dựa trên dữ liệu học bổng</t>
  </si>
  <si>
    <t>Hạng Mục Chi Phí Tổng Thể</t>
  </si>
  <si>
    <t>Giá Trị Thực Đóng (VNĐ)</t>
  </si>
  <si>
    <t>CHỈ SỐ TỐI ƯU NHỜ HỌC BỔNG</t>
  </si>
  <si>
    <t>1. Lệ phí nhập học ban đầu</t>
  </si>
  <si>
    <t>Số tiền tiết kiệm được từ học phí gốc:</t>
  </si>
  <si>
    <t>2. Tổng học phí Tiếng Anh (6 mức)</t>
  </si>
  <si>
    <t>3. Tổng học phí chuyên ngành (9 kỳ)</t>
  </si>
  <si>
    <t>4. Tổng chi phí sinh hoạt dự kiến (48 tháng)</t>
  </si>
  <si>
    <t>TỔNG NĂNG LỰC TÀI CHÍNH CẦN CHUẨN BỊ</t>
  </si>
  <si>
    <t>CHI TIẾT CÁC KHOẢN HỌC PHÍ &amp; PHỤ PHÍ ĐẠI HỌC FPT 2026</t>
  </si>
  <si>
    <t>Đối tượng: Phạm Văn Chung | Ngành: Khoa học Dữ liệu &amp; AI | Học bổng: 50% Bản lĩnh Thế hệ</t>
  </si>
  <si>
    <t>STT</t>
  </si>
  <si>
    <t>Khoản Mục Chi Phí</t>
  </si>
  <si>
    <t>Đơn Giá Gốc (VNĐ)</t>
  </si>
  <si>
    <t>Số Lượng / Số Kỳ</t>
  </si>
  <si>
    <t>Tổng Chi Phí Gốc (VNĐ)</t>
  </si>
  <si>
    <t>Mức Giảm Học Bổng</t>
  </si>
  <si>
    <t>Học Phí Thực Nộp (VNĐ)</t>
  </si>
  <si>
    <t>Ghi Chú</t>
  </si>
  <si>
    <t>Lệ phí nhập học chính thức</t>
  </si>
  <si>
    <t>Không áp dụng</t>
  </si>
  <si>
    <t>Học phí tiếng Anh dự bị - Level 1</t>
  </si>
  <si>
    <t>Thời gian học 2 tháng/mức</t>
  </si>
  <si>
    <t>Học phí tiếng Anh dự bị - Level 2</t>
  </si>
  <si>
    <t>Học phí tiếng Anh dự bị - Level 3</t>
  </si>
  <si>
    <t>Học phí tiếng Anh dự bị - Level 4</t>
  </si>
  <si>
    <t>Học phí tiếng Anh dự bị - Level 5</t>
  </si>
  <si>
    <t>Học phí tiếng Anh dự bị - Level 6</t>
  </si>
  <si>
    <t>Mức tiếng Anh cao nhất bắt buộc</t>
  </si>
  <si>
    <t>Học phí chuyên ngành (Kỳ 1 đến Kỳ 9)</t>
  </si>
  <si>
    <t>Đã bao gồm học kỳ OJT thực tập DN</t>
  </si>
  <si>
    <t>TỔNG CỘNG CHI PHÍ ĐÀO TẠO</t>
  </si>
  <si>
    <t>ƯỚC TÍNH CHI PHÍ SINH HOẠT TOÀN KHÓA (4 KỲ TIẾNG ANH + 9 KỲ CHUYÊN NGÀNH)</t>
  </si>
  <si>
    <t>Căn cứ tính toán: Sinh hoạt tại Khu công nghệ cao Hòa Lạc (Ước tính 48 tháng học tập)</t>
  </si>
  <si>
    <t>Chi Phí / Tháng (VNĐ)</t>
  </si>
  <si>
    <t>Số Tháng Tích Lũy</t>
  </si>
  <si>
    <t>Tổng Chi Phí Toàn Khóa (VNĐ)</t>
  </si>
  <si>
    <t>Ghi Chú Biện Giải</t>
  </si>
  <si>
    <t>Tiền thuê phòng trọ / Ký túc xá Hòa Lạc</t>
  </si>
  <si>
    <t>Ước tính phòng ở ghép hoặc KTX trường</t>
  </si>
  <si>
    <t>Chi phí ăn uống nhu cầu cơ bản</t>
  </si>
  <si>
    <t>Tính trung bình 100.000 VNĐ/ngày</t>
  </si>
  <si>
    <t>Di chuyển giữa Hòa Lạc và Nội thành</t>
  </si>
  <si>
    <t>Chi phí Internet, điện thoại, điện nước</t>
  </si>
  <si>
    <t>Chia đều theo đầu người phòng trọ</t>
  </si>
  <si>
    <t>Bảo hiểm y tế &amp; Chi phí y tế phát sinh</t>
  </si>
  <si>
    <t>Dự phòng y tế bắt buộc và cá nhân</t>
  </si>
  <si>
    <t>Chi phí di chuyển, xăng xe, xe bus ( Đi Chơi )</t>
  </si>
  <si>
    <t>Danh Mục Chi Phí Sinh Hoạt ( Ước Tính )</t>
  </si>
  <si>
    <t>=&gt;</t>
  </si>
  <si>
    <t xml:space="preserve">TÍCH KIỆM </t>
  </si>
  <si>
    <t>Mức chênh lệch ròng giữa 2 quyết định</t>
  </si>
  <si>
    <t>TỔNG CHI PHÍ ƯỚC TÍNH</t>
  </si>
  <si>
    <t>Ước tính phụ phí phát sinh thêm 1tr/tháng (HT) vs 1.2tr/tháng (FPT)</t>
  </si>
  <si>
    <t>Phụ phí (Điện, nước, xăng, mạng)</t>
  </si>
  <si>
    <t>Tổng Tiền Ăn (48 tháng)</t>
  </si>
  <si>
    <t>Hiện tại: 3tr/tháng | FPT: 1.8tr/tháng (Khu vực Hòa Lạc rẻ hơn)</t>
  </si>
  <si>
    <t>Tổng Tiền Trọ (48 tháng)</t>
  </si>
  <si>
    <t>Hiện tại: 8 kỳ x 13tr | FPT: 9 kỳ chuyên ngành + TA (Đã giảm 50%)</t>
  </si>
  <si>
    <t>Tổng Học Phí</t>
  </si>
  <si>
    <t>Ghi chú &amp; Giả định</t>
  </si>
  <si>
    <t>Hạng Mục Phân Tích</t>
  </si>
  <si>
    <t>Giả định thời gian học tương đương: 4 năm (8 kỳ hiện tại / 9 kỳ FPT &amp; 48 tháng sinh hoạt)</t>
  </si>
  <si>
    <t>BẢNG ĐỐI CHIẾU CHI PHÍ: ĐẠI HỌC HIỆN TẠI vs ĐẠI HỌC FPT</t>
  </si>
  <si>
    <t>Chênh Lệch</t>
  </si>
  <si>
    <t>FPTU</t>
  </si>
  <si>
    <t>UNETI</t>
  </si>
  <si>
    <t>Hiện tại: 2.5tr/tháng | FPT: 2tr/tháng (Ước tính)</t>
  </si>
  <si>
    <t>TỔNG CỘNG CHI PHÍ SINH HOẠT DỰ KIẾN ( VNĐ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</si>
</sst>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1F4E78"/>
      <name val="Times New Roman"/>
      <family val="1"/>
    </font>
    <font>
      <i/>
      <sz val="11"/>
      <color rgb="FF595959"/>
      <name val="Times New Roman"/>
      <family val="1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4"/>
      <name val="Times New Roman"/>
      <family val="1"/>
    </font>
    <font>
      <b/>
      <sz val="15"/>
      <color rgb="FF1F4E78"/>
      <name val="Times New Roman"/>
      <family val="1"/>
    </font>
    <font>
      <b/>
      <sz val="11"/>
      <color rgb="FFC00000"/>
      <name val="Times New Roman"/>
      <family val="1"/>
    </font>
    <font>
      <b/>
      <sz val="2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rgb="FF595959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2F4F7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F2F4F7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F2F4F7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/>
    <xf numFmtId="9" fontId="4" fillId="3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3" fontId="5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/>
    </xf>
    <xf numFmtId="0" fontId="6" fillId="4" borderId="2" xfId="0" applyFont="1" applyFill="1" applyBorder="1"/>
    <xf numFmtId="3" fontId="7" fillId="4" borderId="2" xfId="0" applyNumberFormat="1" applyFont="1" applyFill="1" applyBorder="1"/>
    <xf numFmtId="0" fontId="6" fillId="0" borderId="0" xfId="0" applyFont="1"/>
    <xf numFmtId="3" fontId="6" fillId="0" borderId="0" xfId="0" applyNumberFormat="1" applyFont="1"/>
    <xf numFmtId="3" fontId="8" fillId="4" borderId="2" xfId="0" applyNumberFormat="1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6" fillId="0" borderId="1" xfId="0" applyNumberFormat="1" applyFont="1" applyBorder="1"/>
    <xf numFmtId="0" fontId="7" fillId="4" borderId="2" xfId="0" applyFont="1" applyFill="1" applyBorder="1"/>
    <xf numFmtId="0" fontId="3" fillId="2" borderId="3" xfId="0" applyFont="1" applyFill="1" applyBorder="1" applyAlignment="1">
      <alignment horizontal="center" vertical="center"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3" fontId="11" fillId="4" borderId="2" xfId="0" applyNumberFormat="1" applyFont="1" applyFill="1" applyBorder="1"/>
    <xf numFmtId="0" fontId="9" fillId="6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7" borderId="1" xfId="0" applyFont="1" applyFill="1" applyBorder="1"/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9" borderId="2" xfId="0" quotePrefix="1" applyFont="1" applyFill="1" applyBorder="1"/>
    <xf numFmtId="0" fontId="3" fillId="2" borderId="1" xfId="0" applyFont="1" applyFill="1" applyBorder="1" applyAlignment="1">
      <alignment vertical="center" wrapText="1"/>
    </xf>
    <xf numFmtId="0" fontId="6" fillId="0" borderId="1" xfId="0" applyFont="1" applyBorder="1" applyAlignment="1"/>
    <xf numFmtId="0" fontId="7" fillId="0" borderId="1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3" fontId="13" fillId="9" borderId="1" xfId="0" applyNumberFormat="1" applyFont="1" applyFill="1" applyBorder="1" applyAlignment="1">
      <alignment horizontal="right" vertical="center"/>
    </xf>
    <xf numFmtId="3" fontId="13" fillId="11" borderId="1" xfId="0" applyNumberFormat="1" applyFont="1" applyFill="1" applyBorder="1" applyAlignment="1">
      <alignment horizontal="right" vertical="center"/>
    </xf>
    <xf numFmtId="3" fontId="6" fillId="7" borderId="1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3" fontId="12" fillId="8" borderId="4" xfId="0" applyNumberFormat="1" applyFont="1" applyFill="1" applyBorder="1" applyAlignment="1">
      <alignment horizontal="center" vertical="center" wrapText="1"/>
    </xf>
    <xf numFmtId="3" fontId="12" fillId="8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vi-VN"/>
              <a:t>Cơ Cấu Tổng Chi Phí Toàn Khóa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'Tổng Quan Chi Phí'!$B$5</c:f>
              <c:strCache>
                <c:ptCount val="1"/>
                <c:pt idx="0">
                  <c:v>Giá Trị Thực Đóng (VNĐ)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'Tổng Quan Chi Phí'!$A$6:$A$9</c:f>
              <c:strCache>
                <c:ptCount val="4"/>
                <c:pt idx="0">
                  <c:v>1. Lệ phí nhập học ban đầu</c:v>
                </c:pt>
                <c:pt idx="1">
                  <c:v>2. Tổng học phí Tiếng Anh (6 mức)</c:v>
                </c:pt>
                <c:pt idx="2">
                  <c:v>3. Tổng học phí chuyên ngành (9 kỳ)</c:v>
                </c:pt>
                <c:pt idx="3">
                  <c:v>4. Tổng chi phí sinh hoạt dự kiến (48 tháng)</c:v>
                </c:pt>
              </c:strCache>
            </c:strRef>
          </c:cat>
          <c:val>
            <c:numRef>
              <c:f>'Tổng Quan Chi Phí'!$B$6:$B$9</c:f>
              <c:numCache>
                <c:formatCode>#,##0</c:formatCode>
                <c:ptCount val="4"/>
                <c:pt idx="0">
                  <c:v>4600000</c:v>
                </c:pt>
                <c:pt idx="1">
                  <c:v>39300000</c:v>
                </c:pt>
                <c:pt idx="2">
                  <c:v>151500000</c:v>
                </c:pt>
                <c:pt idx="3">
                  <c:v>208320000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0-4CA4-B1FE-E1D54E100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vi-VN"/>
              <a:t>So Sánh Cơ Cấu Chi Phí (4 Năm)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So Sánh Hai Lộ Trình'!$B$5</c:f>
              <c:strCache>
                <c:ptCount val="1"/>
                <c:pt idx="0">
                  <c:v>UNETI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'3. So Sánh Hai Lộ Trình'!$A$6:$A$9</c:f>
              <c:strCache>
                <c:ptCount val="4"/>
                <c:pt idx="0">
                  <c:v>Tổng Học Phí</c:v>
                </c:pt>
                <c:pt idx="1">
                  <c:v>Tổng Tiền Trọ (48 tháng)</c:v>
                </c:pt>
                <c:pt idx="2">
                  <c:v>Tổng Tiền Ăn (48 tháng)</c:v>
                </c:pt>
                <c:pt idx="3">
                  <c:v>Phụ phí (Điện, nước, xăng, mạng)</c:v>
                </c:pt>
              </c:strCache>
            </c:strRef>
          </c:cat>
          <c:val>
            <c:numRef>
              <c:f>'3. So Sánh Hai Lộ Trình'!$B$6:$B$9</c:f>
              <c:numCache>
                <c:formatCode>#,##0</c:formatCode>
                <c:ptCount val="4"/>
                <c:pt idx="0">
                  <c:v>104000000</c:v>
                </c:pt>
                <c:pt idx="1">
                  <c:v>144000000</c:v>
                </c:pt>
                <c:pt idx="2">
                  <c:v>120000000</c:v>
                </c:pt>
                <c:pt idx="3">
                  <c:v>48000000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0-4F5F-A1D8-3A75A0F43538}"/>
            </c:ext>
          </c:extLst>
        </c:ser>
        <c:ser>
          <c:idx val="1"/>
          <c:order val="1"/>
          <c:tx>
            <c:strRef>
              <c:f>'3. So Sánh Hai Lộ Trình'!$C$5</c:f>
              <c:strCache>
                <c:ptCount val="1"/>
                <c:pt idx="0">
                  <c:v>FPTU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'3. So Sánh Hai Lộ Trình'!$A$6:$A$9</c:f>
              <c:strCache>
                <c:ptCount val="4"/>
                <c:pt idx="0">
                  <c:v>Tổng Học Phí</c:v>
                </c:pt>
                <c:pt idx="1">
                  <c:v>Tổng Tiền Trọ (48 tháng)</c:v>
                </c:pt>
                <c:pt idx="2">
                  <c:v>Tổng Tiền Ăn (48 tháng)</c:v>
                </c:pt>
                <c:pt idx="3">
                  <c:v>Phụ phí (Điện, nước, xăng, mạng)</c:v>
                </c:pt>
              </c:strCache>
            </c:strRef>
          </c:cat>
          <c:val>
            <c:numRef>
              <c:f>'3. So Sánh Hai Lộ Trình'!$C$6:$C$9</c:f>
              <c:numCache>
                <c:formatCode>#,##0</c:formatCode>
                <c:ptCount val="4"/>
                <c:pt idx="0">
                  <c:v>197350000</c:v>
                </c:pt>
                <c:pt idx="1">
                  <c:v>86400000</c:v>
                </c:pt>
                <c:pt idx="2">
                  <c:v>96000000</c:v>
                </c:pt>
                <c:pt idx="3">
                  <c:v>57600000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0-4F5F-A1D8-3A75A0F43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Hạng Mục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VNĐ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4991100" cy="3035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12700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B8B8F8-793C-42A7-9718-4EF569B0A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hamv\OneDrive\Desktop\II-Max\FPTU\So_Sanh_Dau_Tu_FPT_vs_Hien_Tai.xlsx" TargetMode="External"/><Relationship Id="rId1" Type="http://schemas.openxmlformats.org/officeDocument/2006/relationships/externalLinkPath" Target="So_Sanh_Dau_Tu_FPT_vs_Hien_Ta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Học Phí FPT (Lũy Tiến)"/>
      <sheetName val="2. Sinh Hoạt Phí FPT"/>
    </sheetNames>
    <sheetDataSet>
      <sheetData sheetId="0">
        <row r="10">
          <cell r="H10">
            <v>197350000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10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E18" sqref="E18"/>
    </sheetView>
  </sheetViews>
  <sheetFormatPr defaultRowHeight="14" x14ac:dyDescent="0.3"/>
  <cols>
    <col min="1" max="1" width="45.81640625" style="17" bestFit="1" customWidth="1"/>
    <col min="2" max="2" width="24.54296875" style="17" bestFit="1" customWidth="1"/>
    <col min="3" max="3" width="12" style="17" customWidth="1"/>
    <col min="4" max="4" width="50" style="17" customWidth="1"/>
    <col min="5" max="5" width="12" style="17" customWidth="1"/>
    <col min="6" max="16384" width="8.7265625" style="17"/>
  </cols>
  <sheetData>
    <row r="2" spans="1:5" ht="20" x14ac:dyDescent="0.4">
      <c r="A2" s="20" t="s">
        <v>0</v>
      </c>
      <c r="B2" s="20"/>
      <c r="C2" s="20"/>
      <c r="D2" s="20"/>
    </row>
    <row r="3" spans="1:5" x14ac:dyDescent="0.3">
      <c r="A3" s="21" t="s">
        <v>1</v>
      </c>
      <c r="B3" s="21"/>
      <c r="C3" s="21"/>
      <c r="D3" s="21"/>
    </row>
    <row r="5" spans="1:5" x14ac:dyDescent="0.3">
      <c r="A5" s="3" t="s">
        <v>2</v>
      </c>
      <c r="B5" s="3" t="s">
        <v>3</v>
      </c>
      <c r="D5" s="36" t="s">
        <v>4</v>
      </c>
      <c r="E5" s="37"/>
    </row>
    <row r="6" spans="1:5" x14ac:dyDescent="0.3">
      <c r="A6" s="32" t="s">
        <v>5</v>
      </c>
      <c r="B6" s="22">
        <f>'Học Phí Chi Tiết'!G6</f>
        <v>4600000</v>
      </c>
      <c r="D6" s="38" t="s">
        <v>6</v>
      </c>
      <c r="E6" s="37"/>
    </row>
    <row r="7" spans="1:5" x14ac:dyDescent="0.3">
      <c r="A7" s="32" t="s">
        <v>7</v>
      </c>
      <c r="B7" s="22">
        <f>SUM('Học Phí Chi Tiết'!G7:G12)</f>
        <v>39300000</v>
      </c>
      <c r="D7" s="45">
        <f>'Học Phí Chi Tiết'!E14-'Học Phí Chi Tiết'!G14</f>
        <v>190800000</v>
      </c>
      <c r="E7" s="37"/>
    </row>
    <row r="8" spans="1:5" x14ac:dyDescent="0.3">
      <c r="A8" s="32" t="s">
        <v>8</v>
      </c>
      <c r="B8" s="22">
        <f>'Học Phí Chi Tiết'!G13</f>
        <v>151500000</v>
      </c>
      <c r="D8" s="46"/>
    </row>
    <row r="9" spans="1:5" x14ac:dyDescent="0.3">
      <c r="A9" s="32" t="s">
        <v>9</v>
      </c>
      <c r="B9" s="22">
        <f>'Sinh Hoạt Phí Dự Kiến'!E11</f>
        <v>208320000</v>
      </c>
      <c r="D9" s="46"/>
    </row>
    <row r="10" spans="1:5" x14ac:dyDescent="0.3">
      <c r="A10" s="23" t="s">
        <v>10</v>
      </c>
      <c r="B10" s="16">
        <f>SUM(B6:B9)</f>
        <v>403720000</v>
      </c>
      <c r="D10" s="46"/>
    </row>
  </sheetData>
  <mergeCells count="3">
    <mergeCell ref="A2:D2"/>
    <mergeCell ref="A3:D3"/>
    <mergeCell ref="D7:D10"/>
  </mergeCells>
  <pageMargins left="0.25" right="0.25" top="0.75" bottom="0.75" header="0.3" footer="0.3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5"/>
  <sheetViews>
    <sheetView tabSelected="1" workbookViewId="0">
      <pane xSplit="1" ySplit="5" topLeftCell="B6" activePane="bottomRight" state="frozen"/>
      <selection activeCell="E18" sqref="E18"/>
      <selection pane="topRight" activeCell="E18" sqref="E18"/>
      <selection pane="bottomLeft" activeCell="E18" sqref="E18"/>
      <selection pane="bottomRight" activeCell="E18" sqref="E18"/>
    </sheetView>
  </sheetViews>
  <sheetFormatPr defaultRowHeight="14" x14ac:dyDescent="0.3"/>
  <cols>
    <col min="1" max="1" width="4.6328125" style="17" bestFit="1" customWidth="1"/>
    <col min="2" max="2" width="32.36328125" style="17" bestFit="1" customWidth="1"/>
    <col min="3" max="3" width="18.36328125" style="17" bestFit="1" customWidth="1"/>
    <col min="4" max="4" width="16.08984375" style="17" bestFit="1" customWidth="1"/>
    <col min="5" max="5" width="22.7265625" style="17" bestFit="1" customWidth="1"/>
    <col min="6" max="6" width="19.1796875" style="17" bestFit="1" customWidth="1"/>
    <col min="7" max="7" width="23.26953125" style="17" bestFit="1" customWidth="1"/>
    <col min="8" max="8" width="31.453125" style="17" bestFit="1" customWidth="1"/>
    <col min="9" max="16384" width="8.7265625" style="17"/>
  </cols>
  <sheetData>
    <row r="1" spans="1:8" ht="20" customHeight="1" x14ac:dyDescent="0.3">
      <c r="A1" s="1" t="s">
        <v>11</v>
      </c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44" t="s">
        <v>12</v>
      </c>
      <c r="B4" s="44"/>
      <c r="C4" s="44"/>
      <c r="D4" s="44"/>
      <c r="E4" s="44"/>
      <c r="F4" s="44"/>
      <c r="G4" s="44"/>
      <c r="H4" s="44"/>
    </row>
    <row r="5" spans="1:8" x14ac:dyDescent="0.3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</row>
    <row r="6" spans="1:8" x14ac:dyDescent="0.3">
      <c r="A6" s="33">
        <v>1</v>
      </c>
      <c r="B6" s="27" t="s">
        <v>21</v>
      </c>
      <c r="C6" s="6">
        <v>4600000</v>
      </c>
      <c r="D6" s="4">
        <v>1</v>
      </c>
      <c r="E6" s="6">
        <f t="shared" ref="E6:E13" si="0">C6*D6</f>
        <v>4600000</v>
      </c>
      <c r="F6" s="4">
        <v>0</v>
      </c>
      <c r="G6" s="6">
        <f>E6</f>
        <v>4600000</v>
      </c>
      <c r="H6" s="5" t="s">
        <v>22</v>
      </c>
    </row>
    <row r="7" spans="1:8" x14ac:dyDescent="0.3">
      <c r="A7" s="34">
        <v>2</v>
      </c>
      <c r="B7" s="31" t="s">
        <v>23</v>
      </c>
      <c r="C7" s="18">
        <v>13100000</v>
      </c>
      <c r="D7" s="7">
        <v>1</v>
      </c>
      <c r="E7" s="9">
        <f t="shared" si="0"/>
        <v>13100000</v>
      </c>
      <c r="F7" s="10">
        <v>0.5</v>
      </c>
      <c r="G7" s="9">
        <f t="shared" ref="G7:G13" si="1">E7*(1-F7)</f>
        <v>6550000</v>
      </c>
      <c r="H7" s="8" t="s">
        <v>24</v>
      </c>
    </row>
    <row r="8" spans="1:8" x14ac:dyDescent="0.3">
      <c r="A8" s="33">
        <v>3</v>
      </c>
      <c r="B8" s="27" t="s">
        <v>25</v>
      </c>
      <c r="C8" s="18">
        <v>13100000</v>
      </c>
      <c r="D8" s="4">
        <v>1</v>
      </c>
      <c r="E8" s="6">
        <f t="shared" si="0"/>
        <v>13100000</v>
      </c>
      <c r="F8" s="11">
        <v>0.5</v>
      </c>
      <c r="G8" s="6">
        <f t="shared" si="1"/>
        <v>6550000</v>
      </c>
      <c r="H8" s="5" t="s">
        <v>24</v>
      </c>
    </row>
    <row r="9" spans="1:8" x14ac:dyDescent="0.3">
      <c r="A9" s="34">
        <v>4</v>
      </c>
      <c r="B9" s="31" t="s">
        <v>26</v>
      </c>
      <c r="C9" s="18">
        <v>13100000</v>
      </c>
      <c r="D9" s="7">
        <v>1</v>
      </c>
      <c r="E9" s="9">
        <f t="shared" si="0"/>
        <v>13100000</v>
      </c>
      <c r="F9" s="10">
        <v>0.5</v>
      </c>
      <c r="G9" s="9">
        <f t="shared" si="1"/>
        <v>6550000</v>
      </c>
      <c r="H9" s="8" t="s">
        <v>24</v>
      </c>
    </row>
    <row r="10" spans="1:8" x14ac:dyDescent="0.3">
      <c r="A10" s="33">
        <v>5</v>
      </c>
      <c r="B10" s="27" t="s">
        <v>27</v>
      </c>
      <c r="C10" s="18">
        <v>13100000</v>
      </c>
      <c r="D10" s="4">
        <v>1</v>
      </c>
      <c r="E10" s="6">
        <f t="shared" si="0"/>
        <v>13100000</v>
      </c>
      <c r="F10" s="11">
        <v>0.5</v>
      </c>
      <c r="G10" s="6">
        <f t="shared" si="1"/>
        <v>6550000</v>
      </c>
      <c r="H10" s="5" t="s">
        <v>24</v>
      </c>
    </row>
    <row r="11" spans="1:8" x14ac:dyDescent="0.3">
      <c r="A11" s="34">
        <v>6</v>
      </c>
      <c r="B11" s="31" t="s">
        <v>28</v>
      </c>
      <c r="C11" s="18">
        <v>13100000</v>
      </c>
      <c r="D11" s="7">
        <v>1</v>
      </c>
      <c r="E11" s="9">
        <f t="shared" si="0"/>
        <v>13100000</v>
      </c>
      <c r="F11" s="10">
        <v>0.5</v>
      </c>
      <c r="G11" s="9">
        <f t="shared" si="1"/>
        <v>6550000</v>
      </c>
      <c r="H11" s="8" t="s">
        <v>24</v>
      </c>
    </row>
    <row r="12" spans="1:8" x14ac:dyDescent="0.3">
      <c r="A12" s="33">
        <v>7</v>
      </c>
      <c r="B12" s="27" t="s">
        <v>29</v>
      </c>
      <c r="C12" s="18">
        <v>13100000</v>
      </c>
      <c r="D12" s="4">
        <v>1</v>
      </c>
      <c r="E12" s="6">
        <f t="shared" si="0"/>
        <v>13100000</v>
      </c>
      <c r="F12" s="11">
        <v>0.5</v>
      </c>
      <c r="G12" s="6">
        <f t="shared" si="1"/>
        <v>6550000</v>
      </c>
      <c r="H12" s="5" t="s">
        <v>30</v>
      </c>
    </row>
    <row r="13" spans="1:8" x14ac:dyDescent="0.3">
      <c r="A13" s="34">
        <v>8</v>
      </c>
      <c r="B13" s="31" t="s">
        <v>31</v>
      </c>
      <c r="C13" s="12">
        <v>303000000</v>
      </c>
      <c r="D13" s="13">
        <v>9</v>
      </c>
      <c r="E13" s="9">
        <f>C13</f>
        <v>303000000</v>
      </c>
      <c r="F13" s="10">
        <v>0.5</v>
      </c>
      <c r="G13" s="9">
        <f t="shared" si="1"/>
        <v>151500000</v>
      </c>
      <c r="H13" s="8" t="s">
        <v>32</v>
      </c>
    </row>
    <row r="14" spans="1:8" ht="14.5" thickBot="1" x14ac:dyDescent="0.35">
      <c r="A14" s="35" t="s">
        <v>51</v>
      </c>
      <c r="B14" s="14" t="s">
        <v>33</v>
      </c>
      <c r="C14" s="15"/>
      <c r="D14" s="15"/>
      <c r="E14" s="16">
        <f>SUM(E6:E13)</f>
        <v>386200000</v>
      </c>
      <c r="F14" s="15"/>
      <c r="G14" s="19">
        <f>SUM(G6:G13)</f>
        <v>195400000</v>
      </c>
      <c r="H14" s="15"/>
    </row>
    <row r="15" spans="1:8" ht="18" thickTop="1" x14ac:dyDescent="0.3">
      <c r="B15" s="30" t="s">
        <v>52</v>
      </c>
      <c r="C15" s="18">
        <f>E14-G14</f>
        <v>190800000</v>
      </c>
    </row>
  </sheetData>
  <mergeCells count="2">
    <mergeCell ref="A4:H4"/>
    <mergeCell ref="A1:H3"/>
  </mergeCells>
  <pageMargins left="0.25" right="0.25" top="0.75" bottom="0.75" header="0.3" footer="0.3"/>
  <pageSetup paperSize="9" scale="8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2"/>
  <sheetViews>
    <sheetView tabSelected="1" workbookViewId="0">
      <pane xSplit="1" ySplit="5" topLeftCell="B6" activePane="bottomRight" state="frozen"/>
      <selection activeCell="E18" sqref="E18"/>
      <selection pane="topRight" activeCell="E18" sqref="E18"/>
      <selection pane="bottomLeft" activeCell="E18" sqref="E18"/>
      <selection pane="bottomRight" activeCell="E18" sqref="E18"/>
    </sheetView>
  </sheetViews>
  <sheetFormatPr defaultRowHeight="14" x14ac:dyDescent="0.3"/>
  <cols>
    <col min="1" max="1" width="4.90625" style="17" bestFit="1" customWidth="1"/>
    <col min="2" max="2" width="42.26953125" style="17" bestFit="1" customWidth="1"/>
    <col min="3" max="3" width="21.54296875" style="17" bestFit="1" customWidth="1"/>
    <col min="4" max="4" width="18.7265625" style="17" bestFit="1" customWidth="1"/>
    <col min="5" max="5" width="30.36328125" style="17" bestFit="1" customWidth="1"/>
    <col min="6" max="6" width="37.26953125" style="17" bestFit="1" customWidth="1"/>
    <col min="7" max="16384" width="8.7265625" style="17"/>
  </cols>
  <sheetData>
    <row r="1" spans="1:6" ht="20" customHeight="1" x14ac:dyDescent="0.3">
      <c r="A1" s="1" t="s">
        <v>34</v>
      </c>
      <c r="B1" s="1"/>
      <c r="C1" s="1"/>
      <c r="D1" s="1"/>
      <c r="E1" s="1"/>
      <c r="F1" s="1"/>
    </row>
    <row r="2" spans="1:6" ht="20" customHeight="1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2" t="s">
        <v>35</v>
      </c>
      <c r="B4" s="2"/>
      <c r="C4" s="2"/>
      <c r="D4" s="2"/>
      <c r="E4" s="2"/>
      <c r="F4" s="2"/>
    </row>
    <row r="5" spans="1:6" x14ac:dyDescent="0.3">
      <c r="A5" s="24" t="s">
        <v>13</v>
      </c>
      <c r="B5" s="24" t="s">
        <v>50</v>
      </c>
      <c r="C5" s="24" t="s">
        <v>36</v>
      </c>
      <c r="D5" s="24" t="s">
        <v>37</v>
      </c>
      <c r="E5" s="24" t="s">
        <v>38</v>
      </c>
      <c r="F5" s="24" t="s">
        <v>39</v>
      </c>
    </row>
    <row r="6" spans="1:6" x14ac:dyDescent="0.3">
      <c r="A6" s="33">
        <v>1</v>
      </c>
      <c r="B6" s="27" t="s">
        <v>40</v>
      </c>
      <c r="C6" s="6">
        <v>1500000</v>
      </c>
      <c r="D6" s="4">
        <v>48</v>
      </c>
      <c r="E6" s="6">
        <f>C6*D6</f>
        <v>72000000</v>
      </c>
      <c r="F6" s="5" t="s">
        <v>41</v>
      </c>
    </row>
    <row r="7" spans="1:6" x14ac:dyDescent="0.3">
      <c r="A7" s="34">
        <v>2</v>
      </c>
      <c r="B7" s="31" t="s">
        <v>42</v>
      </c>
      <c r="C7" s="9">
        <v>2000000</v>
      </c>
      <c r="D7" s="7">
        <v>48</v>
      </c>
      <c r="E7" s="9">
        <f>C7*D7</f>
        <v>96000000</v>
      </c>
      <c r="F7" s="8" t="s">
        <v>43</v>
      </c>
    </row>
    <row r="8" spans="1:6" x14ac:dyDescent="0.3">
      <c r="A8" s="33">
        <v>3</v>
      </c>
      <c r="B8" s="27" t="s">
        <v>49</v>
      </c>
      <c r="C8" s="6">
        <v>500000</v>
      </c>
      <c r="D8" s="4">
        <v>48</v>
      </c>
      <c r="E8" s="6">
        <f>C8*D8</f>
        <v>24000000</v>
      </c>
      <c r="F8" s="5" t="s">
        <v>44</v>
      </c>
    </row>
    <row r="9" spans="1:6" x14ac:dyDescent="0.3">
      <c r="A9" s="34">
        <v>4</v>
      </c>
      <c r="B9" s="31" t="s">
        <v>45</v>
      </c>
      <c r="C9" s="9">
        <v>240000</v>
      </c>
      <c r="D9" s="7">
        <v>48</v>
      </c>
      <c r="E9" s="9">
        <f>C9*D9</f>
        <v>11520000</v>
      </c>
      <c r="F9" s="8" t="s">
        <v>46</v>
      </c>
    </row>
    <row r="10" spans="1:6" x14ac:dyDescent="0.3">
      <c r="A10" s="33">
        <v>5</v>
      </c>
      <c r="B10" s="27" t="s">
        <v>47</v>
      </c>
      <c r="C10" s="6">
        <v>100000</v>
      </c>
      <c r="D10" s="4">
        <v>48</v>
      </c>
      <c r="E10" s="6">
        <f>C10*D10</f>
        <v>4800000</v>
      </c>
      <c r="F10" s="5" t="s">
        <v>48</v>
      </c>
    </row>
    <row r="11" spans="1:6" ht="15" customHeight="1" thickBot="1" x14ac:dyDescent="0.35">
      <c r="A11" s="35" t="s">
        <v>51</v>
      </c>
      <c r="B11" s="43" t="s">
        <v>70</v>
      </c>
      <c r="C11" s="43"/>
      <c r="D11" s="43"/>
      <c r="E11" s="16">
        <f>SUM(E6:E10)</f>
        <v>208320000</v>
      </c>
      <c r="F11" s="15"/>
    </row>
    <row r="12" spans="1:6" ht="14.5" thickTop="1" x14ac:dyDescent="0.3"/>
  </sheetData>
  <mergeCells count="3">
    <mergeCell ref="A4:F4"/>
    <mergeCell ref="A1:F3"/>
    <mergeCell ref="B11:D11"/>
  </mergeCells>
  <pageMargins left="0.25" right="0.25" top="0.75" bottom="0.75" header="0.3" footer="0.3"/>
  <pageSetup paperSize="9" scale="9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DE55-391C-4790-B492-9CEBD5316436}">
  <sheetPr>
    <pageSetUpPr fitToPage="1"/>
  </sheetPr>
  <dimension ref="A1:E11"/>
  <sheetViews>
    <sheetView tabSelected="1" zoomScale="115" zoomScaleNormal="115" workbookViewId="0">
      <selection activeCell="E18" sqref="E18"/>
    </sheetView>
  </sheetViews>
  <sheetFormatPr defaultRowHeight="14" x14ac:dyDescent="0.3"/>
  <cols>
    <col min="1" max="1" width="77" style="17" customWidth="1"/>
    <col min="2" max="3" width="10.90625" style="17" bestFit="1" customWidth="1"/>
    <col min="4" max="4" width="11.26953125" style="17" bestFit="1" customWidth="1"/>
    <col min="5" max="5" width="56.36328125" style="17" bestFit="1" customWidth="1"/>
    <col min="6" max="16384" width="8.7265625" style="17"/>
  </cols>
  <sheetData>
    <row r="1" spans="1:5" ht="14.5" customHeight="1" x14ac:dyDescent="0.3">
      <c r="A1" s="39" t="s">
        <v>65</v>
      </c>
      <c r="B1" s="39"/>
      <c r="C1" s="39"/>
      <c r="D1" s="39"/>
      <c r="E1" s="39"/>
    </row>
    <row r="2" spans="1:5" ht="19" customHeight="1" x14ac:dyDescent="0.3">
      <c r="A2" s="39"/>
      <c r="B2" s="39"/>
      <c r="C2" s="39"/>
      <c r="D2" s="39"/>
      <c r="E2" s="39"/>
    </row>
    <row r="3" spans="1:5" x14ac:dyDescent="0.3">
      <c r="A3" s="39"/>
      <c r="B3" s="39"/>
      <c r="C3" s="39"/>
      <c r="D3" s="39"/>
      <c r="E3" s="39"/>
    </row>
    <row r="4" spans="1:5" x14ac:dyDescent="0.3">
      <c r="A4" s="25" t="s">
        <v>64</v>
      </c>
    </row>
    <row r="5" spans="1:5" x14ac:dyDescent="0.3">
      <c r="A5" s="26" t="s">
        <v>63</v>
      </c>
      <c r="B5" s="26" t="s">
        <v>68</v>
      </c>
      <c r="C5" s="26" t="s">
        <v>67</v>
      </c>
      <c r="D5" s="26" t="s">
        <v>66</v>
      </c>
      <c r="E5" s="26" t="s">
        <v>62</v>
      </c>
    </row>
    <row r="6" spans="1:5" x14ac:dyDescent="0.3">
      <c r="A6" s="27" t="s">
        <v>61</v>
      </c>
      <c r="B6" s="41">
        <f>8*13000000</f>
        <v>104000000</v>
      </c>
      <c r="C6" s="40">
        <f>'[1]1. Học Phí FPT (Lũy Tiến)'!H10</f>
        <v>197350000</v>
      </c>
      <c r="D6" s="42">
        <f>C6-B6</f>
        <v>93350000</v>
      </c>
      <c r="E6" s="28" t="s">
        <v>60</v>
      </c>
    </row>
    <row r="7" spans="1:5" x14ac:dyDescent="0.3">
      <c r="A7" s="27" t="s">
        <v>59</v>
      </c>
      <c r="B7" s="41">
        <f>48*3000000</f>
        <v>144000000</v>
      </c>
      <c r="C7" s="40">
        <f>48*1800000</f>
        <v>86400000</v>
      </c>
      <c r="D7" s="42">
        <f>C7-B7</f>
        <v>-57600000</v>
      </c>
      <c r="E7" s="28" t="s">
        <v>58</v>
      </c>
    </row>
    <row r="8" spans="1:5" x14ac:dyDescent="0.3">
      <c r="A8" s="27" t="s">
        <v>57</v>
      </c>
      <c r="B8" s="41">
        <f>48*2500000</f>
        <v>120000000</v>
      </c>
      <c r="C8" s="40">
        <f>48*2000000</f>
        <v>96000000</v>
      </c>
      <c r="D8" s="42">
        <f>C8-B8</f>
        <v>-24000000</v>
      </c>
      <c r="E8" s="28" t="s">
        <v>69</v>
      </c>
    </row>
    <row r="9" spans="1:5" x14ac:dyDescent="0.3">
      <c r="A9" s="27" t="s">
        <v>56</v>
      </c>
      <c r="B9" s="41">
        <f>48*1000000</f>
        <v>48000000</v>
      </c>
      <c r="C9" s="40">
        <f>48*1200000</f>
        <v>57600000</v>
      </c>
      <c r="D9" s="42">
        <f>C9-B9</f>
        <v>9600000</v>
      </c>
      <c r="E9" s="28" t="s">
        <v>55</v>
      </c>
    </row>
    <row r="10" spans="1:5" ht="14.5" thickBot="1" x14ac:dyDescent="0.35">
      <c r="A10" s="23" t="s">
        <v>54</v>
      </c>
      <c r="B10" s="16">
        <f>SUM(B6:B9)</f>
        <v>416000000</v>
      </c>
      <c r="C10" s="16">
        <f>SUM(C6:C9)</f>
        <v>437350000</v>
      </c>
      <c r="D10" s="29">
        <f>C10-B10</f>
        <v>21350000</v>
      </c>
      <c r="E10" s="15" t="s">
        <v>53</v>
      </c>
    </row>
    <row r="11" spans="1:5" ht="14.5" thickTop="1" x14ac:dyDescent="0.3"/>
  </sheetData>
  <mergeCells count="1">
    <mergeCell ref="A1:E3"/>
  </mergeCells>
  <pageMargins left="0.25" right="0.25" top="0.75" bottom="0.75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Tổng Quan Chi Phí</vt:lpstr>
      <vt:lpstr>Học Phí Chi Tiết</vt:lpstr>
      <vt:lpstr>Sinh Hoạt Phí Dự Kiến</vt:lpstr>
      <vt:lpstr>3. So Sánh Hai Lộ Trình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Chung Pham</cp:lastModifiedBy>
  <cp:lastPrinted>2026-07-02T18:16:42Z</cp:lastPrinted>
  <dcterms:created xsi:type="dcterms:W3CDTF">2026-07-02T17:40:34Z</dcterms:created>
  <dcterms:modified xsi:type="dcterms:W3CDTF">2026-07-02T18:18:41Z</dcterms:modified>
</cp:coreProperties>
</file>